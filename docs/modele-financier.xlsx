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Projection 3 ans" sheetId="3" state="visible" r:id="rId5"/>
    <sheet name="Trésorerie An 1" sheetId="4" state="visible" r:id="rId6"/>
    <sheet name="Économie unitaire" sheetId="5" state="visible" r:id="rId7"/>
    <sheet name="ROI éco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Objectif An 1 : 10 à 15 écoles à J+90, 40 en fin d'année (plan 90 jours).</t>
        </r>
      </text>
    </comment>
    <comment ref="B7" authorId="0">
      <text>
        <r>
          <rPr>
            <sz val="10"/>
            <rFont val="Arial"/>
            <family val="2"/>
          </rPr>
          <t xml:space="preserve">Remplacez par la moyenne réelle de vos 10 premières écoles.</t>
        </r>
      </text>
    </comment>
  </commentList>
</comments>
</file>

<file path=xl/sharedStrings.xml><?xml version="1.0" encoding="utf-8"?>
<sst xmlns="http://schemas.openxmlformats.org/spreadsheetml/2006/main" count="207" uniqueCount="173">
  <si>
    <t xml:space="preserve">ScolaPay — Modèle financier (FCFA)</t>
  </si>
  <si>
    <t xml:space="preserve">Comment utiliser ce fichier</t>
  </si>
  <si>
    <t xml:space="preserve">1. Modifiez uniquement les cellules en BLEU (onglets « Hypothèses », « Trésorerie An 1 » ligne 5 et 10, « ROI école »).</t>
  </si>
  <si>
    <t xml:space="preserve">2. Les cellules sur fond JAUNE sont les hypothèses clés : celles qui changent le plus le résultat.</t>
  </si>
  <si>
    <t xml:space="preserve">3. Les cellules en NOIR sont des formules : ne les écrasez pas. Les cellules en VERT reprennent une valeur d'un autre onglet.</t>
  </si>
  <si>
    <t xml:space="preserve">4. Tous les montants sont en FCFA, hors taxes. Les années suivent l'année scolaire (An 1 = octobre 2026 à septembre 2027).</t>
  </si>
  <si>
    <t xml:space="preserve">Les onglets</t>
  </si>
  <si>
    <t xml:space="preserve">Hypothèses — clients, prix, charges, économie unitaire.</t>
  </si>
  <si>
    <t xml:space="preserve">Projection 3 ans — chiffre d'affaires, charges, résultat, revenu annuel récurrent.</t>
  </si>
  <si>
    <t xml:space="preserve">Trésorerie An 1 — mois par mois : quand l'argent rentre, quand il sort, et le besoin de financement de départ.</t>
  </si>
  <si>
    <t xml:space="preserve">Économie unitaire — ce que rapporte et coûte une école cliente (marge, coût d'acquisition, LTV).</t>
  </si>
  <si>
    <t xml:space="preserve">ROI école — le calcul à faire devant un fondateur pendant le rendez-vous commercial.</t>
  </si>
  <si>
    <t xml:space="preserve">Avertissement</t>
  </si>
  <si>
    <t xml:space="preserve">Ce sont des hypothèses de départ, à remplacer par vos chiffres réels dès les premiers mois (taux de conversion, prix accepté, taille des écoles).</t>
  </si>
  <si>
    <t xml:space="preserve">Un modèle n'est pas une promesse : il sert à décider et à repérer les leviers (nombre d'écoles, prix, commissions).</t>
  </si>
  <si>
    <t xml:space="preserve">Hypothèses (modifiez les cellules en bleu)</t>
  </si>
  <si>
    <t xml:space="preserve">Hypothèse</t>
  </si>
  <si>
    <t xml:space="preserve">An 1</t>
  </si>
  <si>
    <t xml:space="preserve">An 2</t>
  </si>
  <si>
    <t xml:space="preserve">An 3</t>
  </si>
  <si>
    <t xml:space="preserve">Unité</t>
  </si>
  <si>
    <t xml:space="preserve">Source / commentaire</t>
  </si>
  <si>
    <t xml:space="preserve">Clients</t>
  </si>
  <si>
    <t xml:space="preserve">Écoles clientes en fin d'année</t>
  </si>
  <si>
    <t xml:space="preserve">écoles</t>
  </si>
  <si>
    <t xml:space="preserve">Objectifs du business plan (§11). An 1 : Côte d'Ivoire ; An 2 : + Sénégal ; An 3 : + 1 pays.</t>
  </si>
  <si>
    <t xml:space="preserve">Écoles actives en moyenne sur l'année</t>
  </si>
  <si>
    <t xml:space="preserve">An 1 : moyenne mensuelle de l'onglet « Trésorerie An 1 ». An 2-3 : signatures concentrées à la rentrée et avant la 2e tranche (≈ moyenne début/fin d'année).</t>
  </si>
  <si>
    <t xml:space="preserve">Élèves moyens par école</t>
  </si>
  <si>
    <t xml:space="preserve">élèves</t>
  </si>
  <si>
    <t xml:space="preserve">Hypothèse : école privée urbaine de taille moyenne. À valider lors des 30 premiers entretiens.</t>
  </si>
  <si>
    <t xml:space="preserve">Prix et revenus</t>
  </si>
  <si>
    <t xml:space="preserve">Prix Essentiel</t>
  </si>
  <si>
    <t xml:space="preserve">FCFA/élève/an</t>
  </si>
  <si>
    <t xml:space="preserve">Offre ScolaPay (business plan §6). Repère marché : Novacole 200 à 500 FCFA/élève/an (novacole.com).</t>
  </si>
  <si>
    <t xml:space="preserve">Prix Recouvrement+</t>
  </si>
  <si>
    <t xml:space="preserve">Offre premium : paiement en ligne, revue mensuelle des impayés. Justifiée par le ROI (onglet « ROI école »).</t>
  </si>
  <si>
    <t xml:space="preserve">Part des écoles en Recouvrement+</t>
  </si>
  <si>
    <t xml:space="preserve">%</t>
  </si>
  <si>
    <t xml:space="preserve">Hypothèse : la moitié des écoles choisit l'offre premium.</t>
  </si>
  <si>
    <t xml:space="preserve">Services complémentaires par école active</t>
  </si>
  <si>
    <t xml:space="preserve">FCFA/an</t>
  </si>
  <si>
    <t xml:space="preserve">Cartes scolaires QR (≈ 550 FCFA de marge par carte), packs SMS, petite marge sur les paiements en ligne. Hypothèse croissante.</t>
  </si>
  <si>
    <t xml:space="preserve">Mise en place encaissée par nouvelle école</t>
  </si>
  <si>
    <t xml:space="preserve">FCFA</t>
  </si>
  <si>
    <t xml:space="preserve">25 000 FCFA facturés ; offerte à environ la moitié des écoles en An 1 (lancement).</t>
  </si>
  <si>
    <t xml:space="preserve">Charges annuelles</t>
  </si>
  <si>
    <t xml:space="preserve">Salaire du fondateur</t>
  </si>
  <si>
    <t xml:space="preserve">An 1 : somme de la ligne 10 de l'onglet « Trésorerie An 1 » (0 pendant 6 mois, puis 150 000/mois). An 2 : 400 000/mois. An 3 : 800 000/mois.</t>
  </si>
  <si>
    <t xml:space="preserve">Commerciaux — salaires fixes</t>
  </si>
  <si>
    <t xml:space="preserve">An 2 : 3 commerciaux × 100 000/mois. An 3 : 6 × 120 000/mois. An 1 : 100 % commission.</t>
  </si>
  <si>
    <t xml:space="preserve">Commissions commerciales (% du chiffre d'affaires)</t>
  </si>
  <si>
    <t xml:space="preserve">% du CA</t>
  </si>
  <si>
    <t xml:space="preserve">20 % de la 1re année des écoles signées ; la part baisse quand les réabonnements pèsent plus (kit commercial §10).</t>
  </si>
  <si>
    <t xml:space="preserve">Support et mise en place</t>
  </si>
  <si>
    <t xml:space="preserve">An 2 : 1 chargé à 150 000/mois. An 3 : 3 à 175 000/mois.</t>
  </si>
  <si>
    <t xml:space="preserve">Développement et technique</t>
  </si>
  <si>
    <t xml:space="preserve">An 1 : l'application existe déjà. An 2 : freelance 300 000/mois. An 3 : 2 développeurs.</t>
  </si>
  <si>
    <t xml:space="preserve">Responsables pays</t>
  </si>
  <si>
    <t xml:space="preserve">An 3 : 2 responsables pays à 400 000/mois.</t>
  </si>
  <si>
    <t xml:space="preserve">Transport, téléphone, local</t>
  </si>
  <si>
    <t xml:space="preserve">An 1 : ≈ 100 000/mois (transport 3 000/jour, crédit téléphone).</t>
  </si>
  <si>
    <t xml:space="preserve">Hébergement, SMS, outils</t>
  </si>
  <si>
    <t xml:space="preserve">Serveur, nom de domaine, SMS de relance, sauvegardes.</t>
  </si>
  <si>
    <t xml:space="preserve">Marketing (cartes, événements, contenus)</t>
  </si>
  <si>
    <t xml:space="preserve">Peu de publicité : la vente se fait sur le terrain et par recommandation.</t>
  </si>
  <si>
    <t xml:space="preserve">Juridique, comptabilité, création</t>
  </si>
  <si>
    <t xml:space="preserve">Création de l'entreprise, expert-comptable, contrats, dépôt de marque OAPI.</t>
  </si>
  <si>
    <t xml:space="preserve">Lancement de nouveaux pays</t>
  </si>
  <si>
    <t xml:space="preserve">Missions, entité locale, premiers commerciaux.</t>
  </si>
  <si>
    <t xml:space="preserve">Économie unitaire et financement</t>
  </si>
  <si>
    <t xml:space="preserve">Coût de service par école</t>
  </si>
  <si>
    <t xml:space="preserve">Hébergement, SMS, environ 2 h de support par mois.</t>
  </si>
  <si>
    <t xml:space="preserve">Coût d'acquisition d'une école (CAC)</t>
  </si>
  <si>
    <t xml:space="preserve">Commission (≈ 20 % de la 1re année) + transport + démo.</t>
  </si>
  <si>
    <t xml:space="preserve">Attrition annuelle (écoles qui partent)</t>
  </si>
  <si>
    <t xml:space="preserve">%/an</t>
  </si>
  <si>
    <t xml:space="preserve">Hypothèse prudente pour un outil qui contient toutes les données financières de l'école.</t>
  </si>
  <si>
    <t xml:space="preserve">Capital de départ</t>
  </si>
  <si>
    <t xml:space="preserve">Épargne personnelle ou famille. Voir le besoin calculé dans « Trésorerie An 1 ».</t>
  </si>
  <si>
    <t xml:space="preserve">Durée de vie retenue au maximum</t>
  </si>
  <si>
    <t xml:space="preserve">années</t>
  </si>
  <si>
    <t xml:space="preserve">Plafond prudent pour le calcul de la LTV, même si l'attrition laisse espérer plus longtemps.</t>
  </si>
  <si>
    <t xml:space="preserve">Projection sur 3 ans (FCFA)</t>
  </si>
  <si>
    <t xml:space="preserve">Commentaire</t>
  </si>
  <si>
    <t xml:space="preserve">Écoles en début d'année</t>
  </si>
  <si>
    <t xml:space="preserve">Écoles en fin d'année</t>
  </si>
  <si>
    <t xml:space="preserve">Nouvelles écoles (nettes)</t>
  </si>
  <si>
    <t xml:space="preserve">Écoles actives en moyenne</t>
  </si>
  <si>
    <t xml:space="preserve">Élèves gérés en fin d'année</t>
  </si>
  <si>
    <t xml:space="preserve">Revenu par école</t>
  </si>
  <si>
    <t xml:space="preserve">Prix moyen par élève</t>
  </si>
  <si>
    <t xml:space="preserve">Mix Essentiel / Recouvrement+</t>
  </si>
  <si>
    <t xml:space="preserve">Abonnement moyen par école</t>
  </si>
  <si>
    <t xml:space="preserve">Revenu moyen par école (ARPA)</t>
  </si>
  <si>
    <t xml:space="preserve">Abonnement + services complémentaires</t>
  </si>
  <si>
    <t xml:space="preserve">Chiffre d'affaires</t>
  </si>
  <si>
    <t xml:space="preserve">Abonnements</t>
  </si>
  <si>
    <t xml:space="preserve">Services complémentaires</t>
  </si>
  <si>
    <t xml:space="preserve">Mises en place</t>
  </si>
  <si>
    <t xml:space="preserve">Chiffre d'affaires total</t>
  </si>
  <si>
    <t xml:space="preserve">Charges</t>
  </si>
  <si>
    <t xml:space="preserve">Commerciaux — fixes</t>
  </si>
  <si>
    <t xml:space="preserve">Commissions commerciales</t>
  </si>
  <si>
    <t xml:space="preserve">Marketing</t>
  </si>
  <si>
    <t xml:space="preserve">Juridique, comptabilité</t>
  </si>
  <si>
    <t xml:space="preserve">Total des charges</t>
  </si>
  <si>
    <t xml:space="preserve">Résultat</t>
  </si>
  <si>
    <t xml:space="preserve">Résultat avant impôt</t>
  </si>
  <si>
    <t xml:space="preserve">Marge (résultat / CA)</t>
  </si>
  <si>
    <t xml:space="preserve">Résultat cumulé</t>
  </si>
  <si>
    <t xml:space="preserve">Revenu annuel récurrent en fin d'année</t>
  </si>
  <si>
    <t xml:space="preserve">Écoles en fin d'année × ARPA : ce que l'entreprise encaissera l'année suivante si personne ne part</t>
  </si>
  <si>
    <t xml:space="preserve">Trésorerie de l'An 1, mois par mois (FCFA)</t>
  </si>
  <si>
    <t xml:space="preserve">Lignes 5 et 10 en bleu : à ajuster. Le reste est calculé.</t>
  </si>
  <si>
    <t xml:space="preserve">oct-26</t>
  </si>
  <si>
    <t xml:space="preserve">nov-26</t>
  </si>
  <si>
    <t xml:space="preserve">déc-26</t>
  </si>
  <si>
    <t xml:space="preserve">janv-27</t>
  </si>
  <si>
    <t xml:space="preserve">févr-27</t>
  </si>
  <si>
    <t xml:space="preserve">mars-27</t>
  </si>
  <si>
    <t xml:space="preserve">avr-27</t>
  </si>
  <si>
    <t xml:space="preserve">mai-27</t>
  </si>
  <si>
    <t xml:space="preserve">juin-27</t>
  </si>
  <si>
    <t xml:space="preserve">juil-27</t>
  </si>
  <si>
    <t xml:space="preserve">août-27</t>
  </si>
  <si>
    <t xml:space="preserve">sept-27</t>
  </si>
  <si>
    <t xml:space="preserve">Total / moy.</t>
  </si>
  <si>
    <t xml:space="preserve">Écoles payantes (fin de mois)</t>
  </si>
  <si>
    <t xml:space="preserve">Nouvelles écoles du mois</t>
  </si>
  <si>
    <t xml:space="preserve">Abonnements et services</t>
  </si>
  <si>
    <t xml:space="preserve">Encaissements</t>
  </si>
  <si>
    <t xml:space="preserve">Autres charges fixes</t>
  </si>
  <si>
    <t xml:space="preserve">Décaissements</t>
  </si>
  <si>
    <t xml:space="preserve">Flux net du mois</t>
  </si>
  <si>
    <t xml:space="preserve">Cumul des flux (sans capital)</t>
  </si>
  <si>
    <t xml:space="preserve">Trésorerie (avec capital de départ)</t>
  </si>
  <si>
    <t xml:space="preserve">Écoles actives en moyenne (An 1)</t>
  </si>
  <si>
    <t xml:space="preserve">Besoin de financement (point bas de trésorerie)</t>
  </si>
  <si>
    <t xml:space="preserve">Trésorerie la plus basse avec le capital de départ</t>
  </si>
  <si>
    <t xml:space="preserve">Le capital de départ suffit-il ?</t>
  </si>
  <si>
    <t xml:space="preserve">Prudence : les revenus sont lissés sur 12 mois. En réalité, les écoles paient leur abonnement en 3 tranches (souvent à l'avance), ce qui améliore la trésorerie.</t>
  </si>
  <si>
    <t xml:space="preserve">Économie unitaire : ce que vaut une école cliente</t>
  </si>
  <si>
    <t xml:space="preserve">Revenu moyen par école (ARPA, FCFA/an)</t>
  </si>
  <si>
    <t xml:space="preserve">Coût de service (FCFA/an)</t>
  </si>
  <si>
    <t xml:space="preserve">Marge brute par école (FCFA/an)</t>
  </si>
  <si>
    <t xml:space="preserve">Taux de marge brute</t>
  </si>
  <si>
    <t xml:space="preserve">Coût d'acquisition (CAC, FCFA)</t>
  </si>
  <si>
    <t xml:space="preserve">Délai de remboursement du CAC (mois)</t>
  </si>
  <si>
    <t xml:space="preserve">Moins de 12 mois = excellent</t>
  </si>
  <si>
    <t xml:space="preserve">Durée de vie retenue d'une école (années)</t>
  </si>
  <si>
    <t xml:space="preserve">1 / attrition, plafonnée (onglet Hypothèses)</t>
  </si>
  <si>
    <t xml:space="preserve">Valeur d'une école sur sa durée de vie (LTV, FCFA)</t>
  </si>
  <si>
    <t xml:space="preserve">Ratio LTV / CAC</t>
  </si>
  <si>
    <t xml:space="preserve">Au-dessus de 3x : le modèle est sain</t>
  </si>
  <si>
    <t xml:space="preserve">ROI pour l'école : à remplir devant le fondateur</t>
  </si>
  <si>
    <t xml:space="preserve">Remplacez les cellules bleues par les chiffres de l'école visitée.</t>
  </si>
  <si>
    <t xml:space="preserve">Valeur</t>
  </si>
  <si>
    <t xml:space="preserve">Nombre d'élèves</t>
  </si>
  <si>
    <t xml:space="preserve">Question 1 de l'entretien de découverte</t>
  </si>
  <si>
    <t xml:space="preserve">Scolarité annuelle moyenne (FCFA)</t>
  </si>
  <si>
    <t xml:space="preserve">Question 2</t>
  </si>
  <si>
    <t xml:space="preserve">Gain de recouvrement visé (points)</t>
  </si>
  <si>
    <t xml:space="preserve">Prudent : 5 points. Beaucoup d'écoles partent de 70 % ou moins</t>
  </si>
  <si>
    <t xml:space="preserve">Prix ScolaPay (FCFA par élève et par an)</t>
  </si>
  <si>
    <t xml:space="preserve">1 000 = Recouvrement+, 500 = Essentiel</t>
  </si>
  <si>
    <t xml:space="preserve">Total attendu dans l'année (FCFA)</t>
  </si>
  <si>
    <t xml:space="preserve">Argent récupéré en plus (FCFA)</t>
  </si>
  <si>
    <t xml:space="preserve">Coût de ScolaPay (FCFA)</t>
  </si>
  <si>
    <t xml:space="preserve">Gain net pour l'école (FCFA)</t>
  </si>
  <si>
    <t xml:space="preserve">Retour sur investissement</t>
  </si>
  <si>
    <t xml:space="preserve">Francs récupérés pour 1 franc payé</t>
  </si>
  <si>
    <t xml:space="preserve">Sans compter : le temps gagné par la secrétaire, la fraude évitée à la caisse et les litiges en moins.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</si>
</sst>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#,##0.0;\(#,##0.0\);\-"/>
    <numFmt numFmtId="167" formatCode="0.0%;\(0.0%\);\-"/>
    <numFmt numFmtId="16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D7346"/>
        <bgColor rgb="FF008080"/>
      </patternFill>
    </fill>
    <fill>
      <patternFill patternType="solid">
        <fgColor rgb="FFE5F3EC"/>
        <bgColor rgb="FFF2F2F2"/>
      </patternFill>
    </fill>
    <fill>
      <patternFill patternType="solid">
        <fgColor rgb="FFF2F2F2"/>
        <bgColor rgb="FFE5F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46"/>
      <rgbColor rgb="FFC0C0C0"/>
      <rgbColor rgb="FF808080"/>
      <rgbColor rgb="FF9999FF"/>
      <rgbColor rgb="FF993366"/>
      <rgbColor rgb="FFF2F2F2"/>
      <rgbColor rgb="FFE5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15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</row>
    <row r="3" customFormat="false" ht="15" hidden="false" customHeight="false" outlineLevel="0" collapsed="false">
      <c r="A3" s="7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</row>
    <row r="4" customFormat="false" ht="15" hidden="false" customHeight="false" outlineLevel="0" collapsed="false">
      <c r="A4" s="9" t="s">
        <v>22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2" t="s">
        <v>23</v>
      </c>
      <c r="B5" s="11" t="n">
        <v>40</v>
      </c>
      <c r="C5" s="11" t="n">
        <v>180</v>
      </c>
      <c r="D5" s="11" t="n">
        <v>500</v>
      </c>
      <c r="E5" s="12" t="s">
        <v>24</v>
      </c>
      <c r="F5" s="13" t="s">
        <v>25</v>
      </c>
    </row>
    <row r="6" customFormat="false" ht="22.35" hidden="false" customHeight="false" outlineLevel="0" collapsed="false">
      <c r="A6" s="2" t="s">
        <v>26</v>
      </c>
      <c r="B6" s="14" t="n">
        <f aca="false">'Trésorerie An 1'!N5</f>
        <v>23.9166666666667</v>
      </c>
      <c r="C6" s="15" t="n">
        <v>110</v>
      </c>
      <c r="D6" s="15" t="n">
        <v>340</v>
      </c>
      <c r="E6" s="12" t="s">
        <v>24</v>
      </c>
      <c r="F6" s="13" t="s">
        <v>27</v>
      </c>
    </row>
    <row r="7" customFormat="false" ht="15" hidden="false" customHeight="false" outlineLevel="0" collapsed="false">
      <c r="A7" s="2" t="s">
        <v>28</v>
      </c>
      <c r="B7" s="11" t="n">
        <v>350</v>
      </c>
      <c r="C7" s="11" t="n">
        <v>350</v>
      </c>
      <c r="D7" s="11" t="n">
        <v>350</v>
      </c>
      <c r="E7" s="12" t="s">
        <v>29</v>
      </c>
      <c r="F7" s="13" t="s">
        <v>30</v>
      </c>
    </row>
    <row r="8" customFormat="false" ht="15" hidden="false" customHeight="false" outlineLevel="0" collapsed="false">
      <c r="A8" s="9" t="s">
        <v>31</v>
      </c>
      <c r="B8" s="10"/>
      <c r="C8" s="10"/>
      <c r="D8" s="10"/>
      <c r="E8" s="10"/>
      <c r="F8" s="10"/>
    </row>
    <row r="9" customFormat="false" ht="15" hidden="false" customHeight="false" outlineLevel="0" collapsed="false">
      <c r="A9" s="2" t="s">
        <v>32</v>
      </c>
      <c r="B9" s="11" t="n">
        <v>500</v>
      </c>
      <c r="C9" s="11" t="n">
        <v>500</v>
      </c>
      <c r="D9" s="11" t="n">
        <v>500</v>
      </c>
      <c r="E9" s="12" t="s">
        <v>33</v>
      </c>
      <c r="F9" s="13" t="s">
        <v>34</v>
      </c>
    </row>
    <row r="10" customFormat="false" ht="15" hidden="false" customHeight="false" outlineLevel="0" collapsed="false">
      <c r="A10" s="2" t="s">
        <v>35</v>
      </c>
      <c r="B10" s="11" t="n">
        <v>1000</v>
      </c>
      <c r="C10" s="11" t="n">
        <v>1000</v>
      </c>
      <c r="D10" s="11" t="n">
        <v>1000</v>
      </c>
      <c r="E10" s="12" t="s">
        <v>33</v>
      </c>
      <c r="F10" s="13" t="s">
        <v>36</v>
      </c>
    </row>
    <row r="11" customFormat="false" ht="15" hidden="false" customHeight="false" outlineLevel="0" collapsed="false">
      <c r="A11" s="2" t="s">
        <v>37</v>
      </c>
      <c r="B11" s="16" t="n">
        <v>0.5</v>
      </c>
      <c r="C11" s="16" t="n">
        <v>0.5</v>
      </c>
      <c r="D11" s="16" t="n">
        <v>0.5</v>
      </c>
      <c r="E11" s="12" t="s">
        <v>38</v>
      </c>
      <c r="F11" s="13" t="s">
        <v>39</v>
      </c>
    </row>
    <row r="12" customFormat="false" ht="22.35" hidden="false" customHeight="false" outlineLevel="0" collapsed="false">
      <c r="A12" s="2" t="s">
        <v>40</v>
      </c>
      <c r="B12" s="15" t="n">
        <v>37500</v>
      </c>
      <c r="C12" s="15" t="n">
        <v>57500</v>
      </c>
      <c r="D12" s="15" t="n">
        <v>87500</v>
      </c>
      <c r="E12" s="12" t="s">
        <v>41</v>
      </c>
      <c r="F12" s="13" t="s">
        <v>42</v>
      </c>
    </row>
    <row r="13" customFormat="false" ht="15" hidden="false" customHeight="false" outlineLevel="0" collapsed="false">
      <c r="A13" s="2" t="s">
        <v>43</v>
      </c>
      <c r="B13" s="15" t="n">
        <v>12500</v>
      </c>
      <c r="C13" s="15" t="n">
        <v>25000</v>
      </c>
      <c r="D13" s="15" t="n">
        <v>25000</v>
      </c>
      <c r="E13" s="12" t="s">
        <v>44</v>
      </c>
      <c r="F13" s="13" t="s">
        <v>45</v>
      </c>
    </row>
    <row r="14" customFormat="false" ht="15" hidden="false" customHeight="false" outlineLevel="0" collapsed="false">
      <c r="A14" s="9" t="s">
        <v>46</v>
      </c>
      <c r="B14" s="10"/>
      <c r="C14" s="10"/>
      <c r="D14" s="10"/>
      <c r="E14" s="10"/>
      <c r="F14" s="10"/>
    </row>
    <row r="15" customFormat="false" ht="22.35" hidden="false" customHeight="false" outlineLevel="0" collapsed="false">
      <c r="A15" s="2" t="s">
        <v>47</v>
      </c>
      <c r="B15" s="17" t="n">
        <f aca="false">'Trésorerie An 1'!N10</f>
        <v>900000</v>
      </c>
      <c r="C15" s="15" t="n">
        <v>4800000</v>
      </c>
      <c r="D15" s="15" t="n">
        <v>9600000</v>
      </c>
      <c r="E15" s="12" t="s">
        <v>41</v>
      </c>
      <c r="F15" s="13" t="s">
        <v>48</v>
      </c>
    </row>
    <row r="16" customFormat="false" ht="15" hidden="false" customHeight="false" outlineLevel="0" collapsed="false">
      <c r="A16" s="2" t="s">
        <v>49</v>
      </c>
      <c r="B16" s="15" t="n">
        <v>0</v>
      </c>
      <c r="C16" s="15" t="n">
        <v>3600000</v>
      </c>
      <c r="D16" s="15" t="n">
        <v>8640000</v>
      </c>
      <c r="E16" s="12" t="s">
        <v>41</v>
      </c>
      <c r="F16" s="13" t="s">
        <v>50</v>
      </c>
    </row>
    <row r="17" customFormat="false" ht="15" hidden="false" customHeight="false" outlineLevel="0" collapsed="false">
      <c r="A17" s="2" t="s">
        <v>51</v>
      </c>
      <c r="B17" s="18" t="n">
        <v>0.2</v>
      </c>
      <c r="C17" s="18" t="n">
        <v>0.15</v>
      </c>
      <c r="D17" s="18" t="n">
        <v>0.1</v>
      </c>
      <c r="E17" s="12" t="s">
        <v>52</v>
      </c>
      <c r="F17" s="13" t="s">
        <v>53</v>
      </c>
    </row>
    <row r="18" customFormat="false" ht="15" hidden="false" customHeight="false" outlineLevel="0" collapsed="false">
      <c r="A18" s="2" t="s">
        <v>54</v>
      </c>
      <c r="B18" s="15" t="n">
        <v>0</v>
      </c>
      <c r="C18" s="15" t="n">
        <v>1800000</v>
      </c>
      <c r="D18" s="15" t="n">
        <v>6300000</v>
      </c>
      <c r="E18" s="12" t="s">
        <v>41</v>
      </c>
      <c r="F18" s="13" t="s">
        <v>55</v>
      </c>
    </row>
    <row r="19" customFormat="false" ht="15" hidden="false" customHeight="false" outlineLevel="0" collapsed="false">
      <c r="A19" s="2" t="s">
        <v>56</v>
      </c>
      <c r="B19" s="15" t="n">
        <v>0</v>
      </c>
      <c r="C19" s="15" t="n">
        <v>3600000</v>
      </c>
      <c r="D19" s="15" t="n">
        <v>12000000</v>
      </c>
      <c r="E19" s="12" t="s">
        <v>41</v>
      </c>
      <c r="F19" s="13" t="s">
        <v>57</v>
      </c>
    </row>
    <row r="20" customFormat="false" ht="15" hidden="false" customHeight="false" outlineLevel="0" collapsed="false">
      <c r="A20" s="2" t="s">
        <v>58</v>
      </c>
      <c r="B20" s="15" t="n">
        <v>0</v>
      </c>
      <c r="C20" s="15" t="n">
        <v>0</v>
      </c>
      <c r="D20" s="15" t="n">
        <v>9600000</v>
      </c>
      <c r="E20" s="12" t="s">
        <v>41</v>
      </c>
      <c r="F20" s="13" t="s">
        <v>59</v>
      </c>
    </row>
    <row r="21" customFormat="false" ht="15" hidden="false" customHeight="false" outlineLevel="0" collapsed="false">
      <c r="A21" s="2" t="s">
        <v>60</v>
      </c>
      <c r="B21" s="15" t="n">
        <v>1200000</v>
      </c>
      <c r="C21" s="15" t="n">
        <v>3000000</v>
      </c>
      <c r="D21" s="15" t="n">
        <v>6000000</v>
      </c>
      <c r="E21" s="12" t="s">
        <v>41</v>
      </c>
      <c r="F21" s="13" t="s">
        <v>61</v>
      </c>
    </row>
    <row r="22" customFormat="false" ht="15" hidden="false" customHeight="false" outlineLevel="0" collapsed="false">
      <c r="A22" s="2" t="s">
        <v>62</v>
      </c>
      <c r="B22" s="15" t="n">
        <v>400000</v>
      </c>
      <c r="C22" s="15" t="n">
        <v>1500000</v>
      </c>
      <c r="D22" s="15" t="n">
        <v>4000000</v>
      </c>
      <c r="E22" s="12" t="s">
        <v>41</v>
      </c>
      <c r="F22" s="13" t="s">
        <v>63</v>
      </c>
    </row>
    <row r="23" customFormat="false" ht="15" hidden="false" customHeight="false" outlineLevel="0" collapsed="false">
      <c r="A23" s="2" t="s">
        <v>64</v>
      </c>
      <c r="B23" s="15" t="n">
        <v>500000</v>
      </c>
      <c r="C23" s="15" t="n">
        <v>2500000</v>
      </c>
      <c r="D23" s="15" t="n">
        <v>8000000</v>
      </c>
      <c r="E23" s="12" t="s">
        <v>41</v>
      </c>
      <c r="F23" s="13" t="s">
        <v>65</v>
      </c>
    </row>
    <row r="24" customFormat="false" ht="15" hidden="false" customHeight="false" outlineLevel="0" collapsed="false">
      <c r="A24" s="2" t="s">
        <v>66</v>
      </c>
      <c r="B24" s="15" t="n">
        <v>500000</v>
      </c>
      <c r="C24" s="15" t="n">
        <v>1200000</v>
      </c>
      <c r="D24" s="15" t="n">
        <v>4000000</v>
      </c>
      <c r="E24" s="12" t="s">
        <v>41</v>
      </c>
      <c r="F24" s="13" t="s">
        <v>67</v>
      </c>
    </row>
    <row r="25" customFormat="false" ht="15" hidden="false" customHeight="false" outlineLevel="0" collapsed="false">
      <c r="A25" s="2" t="s">
        <v>68</v>
      </c>
      <c r="B25" s="15" t="n">
        <v>0</v>
      </c>
      <c r="C25" s="15" t="n">
        <v>2500000</v>
      </c>
      <c r="D25" s="15" t="n">
        <v>5000000</v>
      </c>
      <c r="E25" s="12" t="s">
        <v>41</v>
      </c>
      <c r="F25" s="13" t="s">
        <v>69</v>
      </c>
    </row>
    <row r="26" customFormat="false" ht="15" hidden="false" customHeight="false" outlineLevel="0" collapsed="false">
      <c r="A26" s="9" t="s">
        <v>70</v>
      </c>
      <c r="B26" s="10"/>
      <c r="C26" s="10"/>
      <c r="D26" s="10"/>
      <c r="E26" s="10"/>
      <c r="F26" s="10"/>
    </row>
    <row r="27" customFormat="false" ht="15" hidden="false" customHeight="false" outlineLevel="0" collapsed="false">
      <c r="A27" s="2" t="s">
        <v>71</v>
      </c>
      <c r="B27" s="15" t="n">
        <v>40000</v>
      </c>
      <c r="C27" s="6"/>
      <c r="D27" s="6"/>
      <c r="E27" s="12" t="s">
        <v>41</v>
      </c>
      <c r="F27" s="12" t="s">
        <v>72</v>
      </c>
    </row>
    <row r="28" customFormat="false" ht="15" hidden="false" customHeight="false" outlineLevel="0" collapsed="false">
      <c r="A28" s="2" t="s">
        <v>73</v>
      </c>
      <c r="B28" s="15" t="n">
        <v>80000</v>
      </c>
      <c r="C28" s="6"/>
      <c r="D28" s="6"/>
      <c r="E28" s="12" t="s">
        <v>44</v>
      </c>
      <c r="F28" s="12" t="s">
        <v>74</v>
      </c>
    </row>
    <row r="29" customFormat="false" ht="15" hidden="false" customHeight="false" outlineLevel="0" collapsed="false">
      <c r="A29" s="2" t="s">
        <v>75</v>
      </c>
      <c r="B29" s="16" t="n">
        <v>0.1</v>
      </c>
      <c r="C29" s="6"/>
      <c r="D29" s="6"/>
      <c r="E29" s="12" t="s">
        <v>76</v>
      </c>
      <c r="F29" s="12" t="s">
        <v>77</v>
      </c>
    </row>
    <row r="30" customFormat="false" ht="15" hidden="false" customHeight="false" outlineLevel="0" collapsed="false">
      <c r="A30" s="2" t="s">
        <v>78</v>
      </c>
      <c r="B30" s="15" t="n">
        <v>1000000</v>
      </c>
      <c r="C30" s="6"/>
      <c r="D30" s="6"/>
      <c r="E30" s="12" t="s">
        <v>44</v>
      </c>
      <c r="F30" s="12" t="s">
        <v>79</v>
      </c>
    </row>
    <row r="31" customFormat="false" ht="15" hidden="false" customHeight="false" outlineLevel="0" collapsed="false">
      <c r="A31" s="2" t="s">
        <v>80</v>
      </c>
      <c r="B31" s="15" t="n">
        <v>5</v>
      </c>
      <c r="C31" s="6"/>
      <c r="D31" s="6"/>
      <c r="E31" s="12" t="s">
        <v>81</v>
      </c>
      <c r="F31" s="1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83</v>
      </c>
      <c r="B1" s="6"/>
      <c r="C1" s="6"/>
      <c r="D1" s="6"/>
      <c r="E1" s="6"/>
    </row>
    <row r="2" customFormat="false" ht="15" hidden="false" customHeight="false" outlineLevel="0" collapsed="false">
      <c r="A2" s="6"/>
      <c r="B2" s="6"/>
      <c r="C2" s="6"/>
      <c r="D2" s="6"/>
      <c r="E2" s="6"/>
    </row>
    <row r="3" customFormat="false" ht="15" hidden="false" customHeight="false" outlineLevel="0" collapsed="false">
      <c r="A3" s="7"/>
      <c r="B3" s="8" t="s">
        <v>17</v>
      </c>
      <c r="C3" s="8" t="s">
        <v>18</v>
      </c>
      <c r="D3" s="8" t="s">
        <v>19</v>
      </c>
      <c r="E3" s="8" t="s">
        <v>84</v>
      </c>
    </row>
    <row r="4" customFormat="false" ht="15" hidden="false" customHeight="false" outlineLevel="0" collapsed="false">
      <c r="A4" s="9" t="s">
        <v>22</v>
      </c>
      <c r="B4" s="10"/>
      <c r="C4" s="10"/>
      <c r="D4" s="10"/>
      <c r="E4" s="10"/>
    </row>
    <row r="5" customFormat="false" ht="15" hidden="false" customHeight="false" outlineLevel="0" collapsed="false">
      <c r="A5" s="2" t="s">
        <v>85</v>
      </c>
      <c r="B5" s="19" t="n">
        <f aca="false">0</f>
        <v>0</v>
      </c>
      <c r="C5" s="19" t="n">
        <f aca="false">B6</f>
        <v>40</v>
      </c>
      <c r="D5" s="19" t="n">
        <f aca="false">C6</f>
        <v>180</v>
      </c>
      <c r="E5" s="6"/>
    </row>
    <row r="6" customFormat="false" ht="15" hidden="false" customHeight="false" outlineLevel="0" collapsed="false">
      <c r="A6" s="2" t="s">
        <v>86</v>
      </c>
      <c r="B6" s="17" t="n">
        <f aca="false">Hypothèses!B5</f>
        <v>40</v>
      </c>
      <c r="C6" s="17" t="n">
        <f aca="false">Hypothèses!C5</f>
        <v>180</v>
      </c>
      <c r="D6" s="17" t="n">
        <f aca="false">Hypothèses!D5</f>
        <v>500</v>
      </c>
      <c r="E6" s="6"/>
    </row>
    <row r="7" customFormat="false" ht="15" hidden="false" customHeight="false" outlineLevel="0" collapsed="false">
      <c r="A7" s="2" t="s">
        <v>87</v>
      </c>
      <c r="B7" s="19" t="n">
        <f aca="false">B6-B5</f>
        <v>40</v>
      </c>
      <c r="C7" s="19" t="n">
        <f aca="false">C6-C5</f>
        <v>140</v>
      </c>
      <c r="D7" s="19" t="n">
        <f aca="false">D6-D5</f>
        <v>320</v>
      </c>
      <c r="E7" s="6"/>
    </row>
    <row r="8" customFormat="false" ht="15" hidden="false" customHeight="false" outlineLevel="0" collapsed="false">
      <c r="A8" s="2" t="s">
        <v>88</v>
      </c>
      <c r="B8" s="14" t="n">
        <f aca="false">Hypothèses!B6</f>
        <v>23.9166666666667</v>
      </c>
      <c r="C8" s="14" t="n">
        <f aca="false">Hypothèses!C6</f>
        <v>110</v>
      </c>
      <c r="D8" s="14" t="n">
        <f aca="false">Hypothèses!D6</f>
        <v>340</v>
      </c>
      <c r="E8" s="6"/>
    </row>
    <row r="9" customFormat="false" ht="15" hidden="false" customHeight="false" outlineLevel="0" collapsed="false">
      <c r="A9" s="2" t="s">
        <v>89</v>
      </c>
      <c r="B9" s="19" t="n">
        <f aca="false">B6*Hypothèses!B7</f>
        <v>14000</v>
      </c>
      <c r="C9" s="19" t="n">
        <f aca="false">C6*Hypothèses!C7</f>
        <v>63000</v>
      </c>
      <c r="D9" s="19" t="n">
        <f aca="false">D6*Hypothèses!D7</f>
        <v>175000</v>
      </c>
      <c r="E9" s="6"/>
    </row>
    <row r="10" customFormat="false" ht="15" hidden="false" customHeight="false" outlineLevel="0" collapsed="false">
      <c r="A10" s="9" t="s">
        <v>90</v>
      </c>
      <c r="B10" s="10"/>
      <c r="C10" s="10"/>
      <c r="D10" s="10"/>
      <c r="E10" s="10"/>
    </row>
    <row r="11" customFormat="false" ht="15" hidden="false" customHeight="false" outlineLevel="0" collapsed="false">
      <c r="A11" s="2" t="s">
        <v>91</v>
      </c>
      <c r="B11" s="19" t="n">
        <f aca="false">Hypothèses!B9*(1-Hypothèses!B11)+Hypothèses!B10*Hypothèses!B11</f>
        <v>750</v>
      </c>
      <c r="C11" s="19" t="n">
        <f aca="false">Hypothèses!C9*(1-Hypothèses!C11)+Hypothèses!C10*Hypothèses!C11</f>
        <v>750</v>
      </c>
      <c r="D11" s="19" t="n">
        <f aca="false">Hypothèses!D9*(1-Hypothèses!D11)+Hypothèses!D10*Hypothèses!D11</f>
        <v>750</v>
      </c>
      <c r="E11" s="12" t="s">
        <v>92</v>
      </c>
    </row>
    <row r="12" customFormat="false" ht="15" hidden="false" customHeight="false" outlineLevel="0" collapsed="false">
      <c r="A12" s="2" t="s">
        <v>93</v>
      </c>
      <c r="B12" s="19" t="n">
        <f aca="false">Hypothèses!B7*B11</f>
        <v>262500</v>
      </c>
      <c r="C12" s="19" t="n">
        <f aca="false">Hypothèses!C7*C11</f>
        <v>262500</v>
      </c>
      <c r="D12" s="19" t="n">
        <f aca="false">Hypothèses!D7*D11</f>
        <v>262500</v>
      </c>
      <c r="E12" s="6"/>
    </row>
    <row r="13" customFormat="false" ht="15" hidden="false" customHeight="false" outlineLevel="0" collapsed="false">
      <c r="A13" s="20" t="s">
        <v>94</v>
      </c>
      <c r="B13" s="21" t="n">
        <f aca="false">B12+Hypothèses!B12</f>
        <v>300000</v>
      </c>
      <c r="C13" s="21" t="n">
        <f aca="false">C12+Hypothèses!C12</f>
        <v>320000</v>
      </c>
      <c r="D13" s="21" t="n">
        <f aca="false">D12+Hypothèses!D12</f>
        <v>350000</v>
      </c>
      <c r="E13" s="12" t="s">
        <v>95</v>
      </c>
    </row>
    <row r="14" customFormat="false" ht="15" hidden="false" customHeight="false" outlineLevel="0" collapsed="false">
      <c r="A14" s="9" t="s">
        <v>96</v>
      </c>
      <c r="B14" s="10"/>
      <c r="C14" s="10"/>
      <c r="D14" s="10"/>
      <c r="E14" s="10"/>
    </row>
    <row r="15" customFormat="false" ht="15" hidden="false" customHeight="false" outlineLevel="0" collapsed="false">
      <c r="A15" s="2" t="s">
        <v>97</v>
      </c>
      <c r="B15" s="19" t="n">
        <f aca="false">B8*B12</f>
        <v>6278125</v>
      </c>
      <c r="C15" s="19" t="n">
        <f aca="false">C8*C12</f>
        <v>28875000</v>
      </c>
      <c r="D15" s="19" t="n">
        <f aca="false">D8*D12</f>
        <v>89250000</v>
      </c>
      <c r="E15" s="6"/>
    </row>
    <row r="16" customFormat="false" ht="15" hidden="false" customHeight="false" outlineLevel="0" collapsed="false">
      <c r="A16" s="2" t="s">
        <v>98</v>
      </c>
      <c r="B16" s="19" t="n">
        <f aca="false">B8*Hypothèses!B12</f>
        <v>896875</v>
      </c>
      <c r="C16" s="19" t="n">
        <f aca="false">C8*Hypothèses!C12</f>
        <v>6325000</v>
      </c>
      <c r="D16" s="19" t="n">
        <f aca="false">D8*Hypothèses!D12</f>
        <v>29750000</v>
      </c>
      <c r="E16" s="6"/>
    </row>
    <row r="17" customFormat="false" ht="15" hidden="false" customHeight="false" outlineLevel="0" collapsed="false">
      <c r="A17" s="2" t="s">
        <v>99</v>
      </c>
      <c r="B17" s="19" t="n">
        <f aca="false">B7*Hypothèses!B13</f>
        <v>500000</v>
      </c>
      <c r="C17" s="19" t="n">
        <f aca="false">C7*Hypothèses!C13</f>
        <v>3500000</v>
      </c>
      <c r="D17" s="19" t="n">
        <f aca="false">D7*Hypothèses!D13</f>
        <v>8000000</v>
      </c>
      <c r="E17" s="6"/>
    </row>
    <row r="18" customFormat="false" ht="15" hidden="false" customHeight="false" outlineLevel="0" collapsed="false">
      <c r="A18" s="22" t="s">
        <v>100</v>
      </c>
      <c r="B18" s="23" t="n">
        <f aca="false">SUM(B15:B17)</f>
        <v>7675000</v>
      </c>
      <c r="C18" s="23" t="n">
        <f aca="false">SUM(C15:C17)</f>
        <v>38700000</v>
      </c>
      <c r="D18" s="23" t="n">
        <f aca="false">SUM(D15:D17)</f>
        <v>127000000</v>
      </c>
      <c r="E18" s="6"/>
    </row>
    <row r="19" customFormat="false" ht="15" hidden="false" customHeight="false" outlineLevel="0" collapsed="false">
      <c r="A19" s="9" t="s">
        <v>101</v>
      </c>
      <c r="B19" s="10"/>
      <c r="C19" s="10"/>
      <c r="D19" s="10"/>
      <c r="E19" s="10"/>
    </row>
    <row r="20" customFormat="false" ht="15" hidden="false" customHeight="false" outlineLevel="0" collapsed="false">
      <c r="A20" s="2" t="s">
        <v>47</v>
      </c>
      <c r="B20" s="17" t="n">
        <f aca="false">Hypothèses!B15</f>
        <v>900000</v>
      </c>
      <c r="C20" s="17" t="n">
        <f aca="false">Hypothèses!C15</f>
        <v>4800000</v>
      </c>
      <c r="D20" s="17" t="n">
        <f aca="false">Hypothèses!D15</f>
        <v>9600000</v>
      </c>
      <c r="E20" s="6"/>
    </row>
    <row r="21" customFormat="false" ht="15" hidden="false" customHeight="false" outlineLevel="0" collapsed="false">
      <c r="A21" s="2" t="s">
        <v>102</v>
      </c>
      <c r="B21" s="17" t="n">
        <f aca="false">Hypothèses!B16</f>
        <v>0</v>
      </c>
      <c r="C21" s="17" t="n">
        <f aca="false">Hypothèses!C16</f>
        <v>3600000</v>
      </c>
      <c r="D21" s="17" t="n">
        <f aca="false">Hypothèses!D16</f>
        <v>8640000</v>
      </c>
      <c r="E21" s="6"/>
    </row>
    <row r="22" customFormat="false" ht="15" hidden="false" customHeight="false" outlineLevel="0" collapsed="false">
      <c r="A22" s="2" t="s">
        <v>103</v>
      </c>
      <c r="B22" s="19" t="n">
        <f aca="false">Hypothèses!B17*B18</f>
        <v>1535000</v>
      </c>
      <c r="C22" s="19" t="n">
        <f aca="false">Hypothèses!C17*C18</f>
        <v>5805000</v>
      </c>
      <c r="D22" s="19" t="n">
        <f aca="false">Hypothèses!D17*D18</f>
        <v>12700000</v>
      </c>
      <c r="E22" s="6"/>
    </row>
    <row r="23" customFormat="false" ht="15" hidden="false" customHeight="false" outlineLevel="0" collapsed="false">
      <c r="A23" s="2" t="s">
        <v>54</v>
      </c>
      <c r="B23" s="17" t="n">
        <f aca="false">Hypothèses!B18</f>
        <v>0</v>
      </c>
      <c r="C23" s="17" t="n">
        <f aca="false">Hypothèses!C18</f>
        <v>1800000</v>
      </c>
      <c r="D23" s="17" t="n">
        <f aca="false">Hypothèses!D18</f>
        <v>6300000</v>
      </c>
      <c r="E23" s="6"/>
    </row>
    <row r="24" customFormat="false" ht="15" hidden="false" customHeight="false" outlineLevel="0" collapsed="false">
      <c r="A24" s="2" t="s">
        <v>56</v>
      </c>
      <c r="B24" s="17" t="n">
        <f aca="false">Hypothèses!B19</f>
        <v>0</v>
      </c>
      <c r="C24" s="17" t="n">
        <f aca="false">Hypothèses!C19</f>
        <v>3600000</v>
      </c>
      <c r="D24" s="17" t="n">
        <f aca="false">Hypothèses!D19</f>
        <v>12000000</v>
      </c>
      <c r="E24" s="6"/>
    </row>
    <row r="25" customFormat="false" ht="15" hidden="false" customHeight="false" outlineLevel="0" collapsed="false">
      <c r="A25" s="2" t="s">
        <v>58</v>
      </c>
      <c r="B25" s="17" t="n">
        <f aca="false">Hypothèses!B20</f>
        <v>0</v>
      </c>
      <c r="C25" s="17" t="n">
        <f aca="false">Hypothèses!C20</f>
        <v>0</v>
      </c>
      <c r="D25" s="17" t="n">
        <f aca="false">Hypothèses!D20</f>
        <v>9600000</v>
      </c>
      <c r="E25" s="6"/>
    </row>
    <row r="26" customFormat="false" ht="15" hidden="false" customHeight="false" outlineLevel="0" collapsed="false">
      <c r="A26" s="2" t="s">
        <v>60</v>
      </c>
      <c r="B26" s="17" t="n">
        <f aca="false">Hypothèses!B21</f>
        <v>1200000</v>
      </c>
      <c r="C26" s="17" t="n">
        <f aca="false">Hypothèses!C21</f>
        <v>3000000</v>
      </c>
      <c r="D26" s="17" t="n">
        <f aca="false">Hypothèses!D21</f>
        <v>6000000</v>
      </c>
      <c r="E26" s="6"/>
    </row>
    <row r="27" customFormat="false" ht="15" hidden="false" customHeight="false" outlineLevel="0" collapsed="false">
      <c r="A27" s="2" t="s">
        <v>62</v>
      </c>
      <c r="B27" s="17" t="n">
        <f aca="false">Hypothèses!B22</f>
        <v>400000</v>
      </c>
      <c r="C27" s="17" t="n">
        <f aca="false">Hypothèses!C22</f>
        <v>1500000</v>
      </c>
      <c r="D27" s="17" t="n">
        <f aca="false">Hypothèses!D22</f>
        <v>4000000</v>
      </c>
      <c r="E27" s="6"/>
    </row>
    <row r="28" customFormat="false" ht="15" hidden="false" customHeight="false" outlineLevel="0" collapsed="false">
      <c r="A28" s="2" t="s">
        <v>104</v>
      </c>
      <c r="B28" s="17" t="n">
        <f aca="false">Hypothèses!B23</f>
        <v>500000</v>
      </c>
      <c r="C28" s="17" t="n">
        <f aca="false">Hypothèses!C23</f>
        <v>2500000</v>
      </c>
      <c r="D28" s="17" t="n">
        <f aca="false">Hypothèses!D23</f>
        <v>8000000</v>
      </c>
      <c r="E28" s="6"/>
    </row>
    <row r="29" customFormat="false" ht="15" hidden="false" customHeight="false" outlineLevel="0" collapsed="false">
      <c r="A29" s="2" t="s">
        <v>105</v>
      </c>
      <c r="B29" s="17" t="n">
        <f aca="false">Hypothèses!B24</f>
        <v>500000</v>
      </c>
      <c r="C29" s="17" t="n">
        <f aca="false">Hypothèses!C24</f>
        <v>1200000</v>
      </c>
      <c r="D29" s="17" t="n">
        <f aca="false">Hypothèses!D24</f>
        <v>4000000</v>
      </c>
      <c r="E29" s="6"/>
    </row>
    <row r="30" customFormat="false" ht="15" hidden="false" customHeight="false" outlineLevel="0" collapsed="false">
      <c r="A30" s="2" t="s">
        <v>68</v>
      </c>
      <c r="B30" s="17" t="n">
        <f aca="false">Hypothèses!B25</f>
        <v>0</v>
      </c>
      <c r="C30" s="17" t="n">
        <f aca="false">Hypothèses!C25</f>
        <v>2500000</v>
      </c>
      <c r="D30" s="17" t="n">
        <f aca="false">Hypothèses!D25</f>
        <v>5000000</v>
      </c>
      <c r="E30" s="6"/>
    </row>
    <row r="31" customFormat="false" ht="15" hidden="false" customHeight="false" outlineLevel="0" collapsed="false">
      <c r="A31" s="22" t="s">
        <v>106</v>
      </c>
      <c r="B31" s="23" t="n">
        <f aca="false">SUM(B20:B30)</f>
        <v>5035000</v>
      </c>
      <c r="C31" s="23" t="n">
        <f aca="false">SUM(C20:C30)</f>
        <v>30305000</v>
      </c>
      <c r="D31" s="23" t="n">
        <f aca="false">SUM(D20:D30)</f>
        <v>85840000</v>
      </c>
      <c r="E31" s="6"/>
    </row>
    <row r="32" customFormat="false" ht="15" hidden="false" customHeight="false" outlineLevel="0" collapsed="false">
      <c r="A32" s="9" t="s">
        <v>107</v>
      </c>
      <c r="B32" s="10"/>
      <c r="C32" s="10"/>
      <c r="D32" s="10"/>
      <c r="E32" s="10"/>
    </row>
    <row r="33" customFormat="false" ht="15" hidden="false" customHeight="false" outlineLevel="0" collapsed="false">
      <c r="A33" s="24" t="s">
        <v>108</v>
      </c>
      <c r="B33" s="25" t="n">
        <f aca="false">B18-B31</f>
        <v>2640000</v>
      </c>
      <c r="C33" s="25" t="n">
        <f aca="false">C18-C31</f>
        <v>8395000</v>
      </c>
      <c r="D33" s="25" t="n">
        <f aca="false">D18-D31</f>
        <v>41160000</v>
      </c>
      <c r="E33" s="6"/>
    </row>
    <row r="34" customFormat="false" ht="15" hidden="false" customHeight="false" outlineLevel="0" collapsed="false">
      <c r="A34" s="2" t="s">
        <v>109</v>
      </c>
      <c r="B34" s="26" t="n">
        <f aca="false">IF(B18=0,0,B33/B18)</f>
        <v>0.343973941368078</v>
      </c>
      <c r="C34" s="26" t="n">
        <f aca="false">IF(C18=0,0,C33/C18)</f>
        <v>0.216925064599483</v>
      </c>
      <c r="D34" s="26" t="n">
        <f aca="false">IF(D18=0,0,D33/D18)</f>
        <v>0.324094488188976</v>
      </c>
      <c r="E34" s="6"/>
    </row>
    <row r="35" customFormat="false" ht="15" hidden="false" customHeight="false" outlineLevel="0" collapsed="false">
      <c r="A35" s="2" t="s">
        <v>110</v>
      </c>
      <c r="B35" s="19" t="n">
        <f aca="false">B33</f>
        <v>2640000</v>
      </c>
      <c r="C35" s="19" t="n">
        <f aca="false">B35+C33</f>
        <v>11035000</v>
      </c>
      <c r="D35" s="19" t="n">
        <f aca="false">C35+D33</f>
        <v>52195000</v>
      </c>
      <c r="E35" s="6"/>
    </row>
    <row r="36" customFormat="false" ht="15" hidden="false" customHeight="false" outlineLevel="0" collapsed="false">
      <c r="A36" s="24" t="s">
        <v>111</v>
      </c>
      <c r="B36" s="27" t="n">
        <f aca="false">B6*B13</f>
        <v>12000000</v>
      </c>
      <c r="C36" s="27" t="n">
        <f aca="false">C6*C13</f>
        <v>57600000</v>
      </c>
      <c r="D36" s="27" t="n">
        <f aca="false">D6*D13</f>
        <v>175000000</v>
      </c>
      <c r="E36" s="1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false" outlineLevel="0" collapsed="false">
      <c r="A2" s="12" t="s">
        <v>114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15" hidden="false" customHeight="false" outlineLevel="0" collapsed="false">
      <c r="A4" s="7"/>
      <c r="B4" s="8" t="s">
        <v>115</v>
      </c>
      <c r="C4" s="8" t="s">
        <v>116</v>
      </c>
      <c r="D4" s="8" t="s">
        <v>117</v>
      </c>
      <c r="E4" s="8" t="s">
        <v>118</v>
      </c>
      <c r="F4" s="8" t="s">
        <v>119</v>
      </c>
      <c r="G4" s="8" t="s">
        <v>120</v>
      </c>
      <c r="H4" s="8" t="s">
        <v>121</v>
      </c>
      <c r="I4" s="8" t="s">
        <v>122</v>
      </c>
      <c r="J4" s="8" t="s">
        <v>123</v>
      </c>
      <c r="K4" s="8" t="s">
        <v>124</v>
      </c>
      <c r="L4" s="8" t="s">
        <v>125</v>
      </c>
      <c r="M4" s="8" t="s">
        <v>126</v>
      </c>
      <c r="N4" s="8" t="s">
        <v>127</v>
      </c>
    </row>
    <row r="5" customFormat="false" ht="15" hidden="false" customHeight="false" outlineLevel="0" collapsed="false">
      <c r="A5" s="2" t="s">
        <v>128</v>
      </c>
      <c r="B5" s="11" t="n">
        <v>0</v>
      </c>
      <c r="C5" s="11" t="n">
        <v>2</v>
      </c>
      <c r="D5" s="11" t="n">
        <v>8</v>
      </c>
      <c r="E5" s="11" t="n">
        <v>15</v>
      </c>
      <c r="F5" s="11" t="n">
        <v>20</v>
      </c>
      <c r="G5" s="11" t="n">
        <v>25</v>
      </c>
      <c r="H5" s="11" t="n">
        <v>30</v>
      </c>
      <c r="I5" s="11" t="n">
        <v>34</v>
      </c>
      <c r="J5" s="11" t="n">
        <v>36</v>
      </c>
      <c r="K5" s="11" t="n">
        <v>38</v>
      </c>
      <c r="L5" s="11" t="n">
        <v>39</v>
      </c>
      <c r="M5" s="11" t="n">
        <v>40</v>
      </c>
      <c r="N5" s="28" t="n">
        <f aca="false">AVERAGE(B5:M5)</f>
        <v>23.9166666666667</v>
      </c>
    </row>
    <row r="6" customFormat="false" ht="15" hidden="false" customHeight="false" outlineLevel="0" collapsed="false">
      <c r="A6" s="2" t="s">
        <v>129</v>
      </c>
      <c r="B6" s="19" t="n">
        <f aca="false">B5</f>
        <v>0</v>
      </c>
      <c r="C6" s="19" t="n">
        <f aca="false">MAX(0,C5-B5)</f>
        <v>2</v>
      </c>
      <c r="D6" s="19" t="n">
        <f aca="false">MAX(0,D5-C5)</f>
        <v>6</v>
      </c>
      <c r="E6" s="19" t="n">
        <f aca="false">MAX(0,E5-D5)</f>
        <v>7</v>
      </c>
      <c r="F6" s="19" t="n">
        <f aca="false">MAX(0,F5-E5)</f>
        <v>5</v>
      </c>
      <c r="G6" s="19" t="n">
        <f aca="false">MAX(0,G5-F5)</f>
        <v>5</v>
      </c>
      <c r="H6" s="19" t="n">
        <f aca="false">MAX(0,H5-G5)</f>
        <v>5</v>
      </c>
      <c r="I6" s="19" t="n">
        <f aca="false">MAX(0,I5-H5)</f>
        <v>4</v>
      </c>
      <c r="J6" s="19" t="n">
        <f aca="false">MAX(0,J5-I5)</f>
        <v>2</v>
      </c>
      <c r="K6" s="19" t="n">
        <f aca="false">MAX(0,K5-J5)</f>
        <v>2</v>
      </c>
      <c r="L6" s="19" t="n">
        <f aca="false">MAX(0,L5-K5)</f>
        <v>1</v>
      </c>
      <c r="M6" s="19" t="n">
        <f aca="false">MAX(0,M5-L5)</f>
        <v>1</v>
      </c>
      <c r="N6" s="19" t="n">
        <f aca="false">SUM(B6:M6)</f>
        <v>40</v>
      </c>
    </row>
    <row r="7" customFormat="false" ht="15" hidden="false" customHeight="false" outlineLevel="0" collapsed="false">
      <c r="A7" s="2" t="s">
        <v>130</v>
      </c>
      <c r="B7" s="19" t="n">
        <f aca="false">B5*'Projection 3 ans'!$B$13/12</f>
        <v>0</v>
      </c>
      <c r="C7" s="19" t="n">
        <f aca="false">C5*'Projection 3 ans'!$B$13/12</f>
        <v>50000</v>
      </c>
      <c r="D7" s="19" t="n">
        <f aca="false">D5*'Projection 3 ans'!$B$13/12</f>
        <v>200000</v>
      </c>
      <c r="E7" s="19" t="n">
        <f aca="false">E5*'Projection 3 ans'!$B$13/12</f>
        <v>375000</v>
      </c>
      <c r="F7" s="19" t="n">
        <f aca="false">F5*'Projection 3 ans'!$B$13/12</f>
        <v>500000</v>
      </c>
      <c r="G7" s="19" t="n">
        <f aca="false">G5*'Projection 3 ans'!$B$13/12</f>
        <v>625000</v>
      </c>
      <c r="H7" s="19" t="n">
        <f aca="false">H5*'Projection 3 ans'!$B$13/12</f>
        <v>750000</v>
      </c>
      <c r="I7" s="19" t="n">
        <f aca="false">I5*'Projection 3 ans'!$B$13/12</f>
        <v>850000</v>
      </c>
      <c r="J7" s="19" t="n">
        <f aca="false">J5*'Projection 3 ans'!$B$13/12</f>
        <v>900000</v>
      </c>
      <c r="K7" s="19" t="n">
        <f aca="false">K5*'Projection 3 ans'!$B$13/12</f>
        <v>950000</v>
      </c>
      <c r="L7" s="19" t="n">
        <f aca="false">L5*'Projection 3 ans'!$B$13/12</f>
        <v>975000</v>
      </c>
      <c r="M7" s="19" t="n">
        <f aca="false">M5*'Projection 3 ans'!$B$13/12</f>
        <v>1000000</v>
      </c>
      <c r="N7" s="19" t="n">
        <f aca="false">SUM(B7:M7)</f>
        <v>7175000</v>
      </c>
    </row>
    <row r="8" customFormat="false" ht="15" hidden="false" customHeight="false" outlineLevel="0" collapsed="false">
      <c r="A8" s="2" t="s">
        <v>99</v>
      </c>
      <c r="B8" s="19" t="n">
        <f aca="false">B6*Hypothèses!$B$13</f>
        <v>0</v>
      </c>
      <c r="C8" s="19" t="n">
        <f aca="false">C6*Hypothèses!$B$13</f>
        <v>25000</v>
      </c>
      <c r="D8" s="19" t="n">
        <f aca="false">D6*Hypothèses!$B$13</f>
        <v>75000</v>
      </c>
      <c r="E8" s="19" t="n">
        <f aca="false">E6*Hypothèses!$B$13</f>
        <v>87500</v>
      </c>
      <c r="F8" s="19" t="n">
        <f aca="false">F6*Hypothèses!$B$13</f>
        <v>62500</v>
      </c>
      <c r="G8" s="19" t="n">
        <f aca="false">G6*Hypothèses!$B$13</f>
        <v>62500</v>
      </c>
      <c r="H8" s="19" t="n">
        <f aca="false">H6*Hypothèses!$B$13</f>
        <v>62500</v>
      </c>
      <c r="I8" s="19" t="n">
        <f aca="false">I6*Hypothèses!$B$13</f>
        <v>50000</v>
      </c>
      <c r="J8" s="19" t="n">
        <f aca="false">J6*Hypothèses!$B$13</f>
        <v>25000</v>
      </c>
      <c r="K8" s="19" t="n">
        <f aca="false">K6*Hypothèses!$B$13</f>
        <v>25000</v>
      </c>
      <c r="L8" s="19" t="n">
        <f aca="false">L6*Hypothèses!$B$13</f>
        <v>12500</v>
      </c>
      <c r="M8" s="19" t="n">
        <f aca="false">M6*Hypothèses!$B$13</f>
        <v>12500</v>
      </c>
      <c r="N8" s="19" t="n">
        <f aca="false">SUM(B8:M8)</f>
        <v>500000</v>
      </c>
    </row>
    <row r="9" customFormat="false" ht="15" hidden="false" customHeight="false" outlineLevel="0" collapsed="false">
      <c r="A9" s="3" t="s">
        <v>131</v>
      </c>
      <c r="B9" s="29" t="n">
        <f aca="false">B7+B8</f>
        <v>0</v>
      </c>
      <c r="C9" s="29" t="n">
        <f aca="false">C7+C8</f>
        <v>75000</v>
      </c>
      <c r="D9" s="29" t="n">
        <f aca="false">D7+D8</f>
        <v>275000</v>
      </c>
      <c r="E9" s="29" t="n">
        <f aca="false">E7+E8</f>
        <v>462500</v>
      </c>
      <c r="F9" s="29" t="n">
        <f aca="false">F7+F8</f>
        <v>562500</v>
      </c>
      <c r="G9" s="29" t="n">
        <f aca="false">G7+G8</f>
        <v>687500</v>
      </c>
      <c r="H9" s="29" t="n">
        <f aca="false">H7+H8</f>
        <v>812500</v>
      </c>
      <c r="I9" s="29" t="n">
        <f aca="false">I7+I8</f>
        <v>900000</v>
      </c>
      <c r="J9" s="29" t="n">
        <f aca="false">J7+J8</f>
        <v>925000</v>
      </c>
      <c r="K9" s="29" t="n">
        <f aca="false">K7+K8</f>
        <v>975000</v>
      </c>
      <c r="L9" s="29" t="n">
        <f aca="false">L7+L8</f>
        <v>987500</v>
      </c>
      <c r="M9" s="29" t="n">
        <f aca="false">M7+M8</f>
        <v>1012500</v>
      </c>
      <c r="N9" s="29" t="n">
        <f aca="false">SUM(B9:M9)</f>
        <v>7675000</v>
      </c>
    </row>
    <row r="10" customFormat="false" ht="15" hidden="false" customHeight="false" outlineLevel="0" collapsed="false">
      <c r="A10" s="2" t="s">
        <v>47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150000</v>
      </c>
      <c r="I10" s="15" t="n">
        <v>150000</v>
      </c>
      <c r="J10" s="15" t="n">
        <v>150000</v>
      </c>
      <c r="K10" s="15" t="n">
        <v>150000</v>
      </c>
      <c r="L10" s="15" t="n">
        <v>150000</v>
      </c>
      <c r="M10" s="15" t="n">
        <v>150000</v>
      </c>
      <c r="N10" s="19" t="n">
        <f aca="false">SUM(B10:M10)</f>
        <v>900000</v>
      </c>
    </row>
    <row r="11" customFormat="false" ht="15" hidden="false" customHeight="false" outlineLevel="0" collapsed="false">
      <c r="A11" s="2" t="s">
        <v>132</v>
      </c>
      <c r="B11" s="19" t="n">
        <f aca="false">(Hypothèses!$B$16+Hypothèses!$B$18+Hypothèses!$B$19+Hypothèses!$B$20+Hypothèses!$B$21+Hypothèses!$B$22+Hypothèses!$B$23+Hypothèses!$B$24+Hypothèses!$B$25)/12</f>
        <v>216666.666666667</v>
      </c>
      <c r="C11" s="19" t="n">
        <f aca="false">(Hypothèses!$B$16+Hypothèses!$B$18+Hypothèses!$B$19+Hypothèses!$B$20+Hypothèses!$B$21+Hypothèses!$B$22+Hypothèses!$B$23+Hypothèses!$B$24+Hypothèses!$B$25)/12</f>
        <v>216666.666666667</v>
      </c>
      <c r="D11" s="19" t="n">
        <f aca="false">(Hypothèses!$B$16+Hypothèses!$B$18+Hypothèses!$B$19+Hypothèses!$B$20+Hypothèses!$B$21+Hypothèses!$B$22+Hypothèses!$B$23+Hypothèses!$B$24+Hypothèses!$B$25)/12</f>
        <v>216666.666666667</v>
      </c>
      <c r="E11" s="19" t="n">
        <f aca="false">(Hypothèses!$B$16+Hypothèses!$B$18+Hypothèses!$B$19+Hypothèses!$B$20+Hypothèses!$B$21+Hypothèses!$B$22+Hypothèses!$B$23+Hypothèses!$B$24+Hypothèses!$B$25)/12</f>
        <v>216666.666666667</v>
      </c>
      <c r="F11" s="19" t="n">
        <f aca="false">(Hypothèses!$B$16+Hypothèses!$B$18+Hypothèses!$B$19+Hypothèses!$B$20+Hypothèses!$B$21+Hypothèses!$B$22+Hypothèses!$B$23+Hypothèses!$B$24+Hypothèses!$B$25)/12</f>
        <v>216666.666666667</v>
      </c>
      <c r="G11" s="19" t="n">
        <f aca="false">(Hypothèses!$B$16+Hypothèses!$B$18+Hypothèses!$B$19+Hypothèses!$B$20+Hypothèses!$B$21+Hypothèses!$B$22+Hypothèses!$B$23+Hypothèses!$B$24+Hypothèses!$B$25)/12</f>
        <v>216666.666666667</v>
      </c>
      <c r="H11" s="19" t="n">
        <f aca="false">(Hypothèses!$B$16+Hypothèses!$B$18+Hypothèses!$B$19+Hypothèses!$B$20+Hypothèses!$B$21+Hypothèses!$B$22+Hypothèses!$B$23+Hypothèses!$B$24+Hypothèses!$B$25)/12</f>
        <v>216666.666666667</v>
      </c>
      <c r="I11" s="19" t="n">
        <f aca="false">(Hypothèses!$B$16+Hypothèses!$B$18+Hypothèses!$B$19+Hypothèses!$B$20+Hypothèses!$B$21+Hypothèses!$B$22+Hypothèses!$B$23+Hypothèses!$B$24+Hypothèses!$B$25)/12</f>
        <v>216666.666666667</v>
      </c>
      <c r="J11" s="19" t="n">
        <f aca="false">(Hypothèses!$B$16+Hypothèses!$B$18+Hypothèses!$B$19+Hypothèses!$B$20+Hypothèses!$B$21+Hypothèses!$B$22+Hypothèses!$B$23+Hypothèses!$B$24+Hypothèses!$B$25)/12</f>
        <v>216666.666666667</v>
      </c>
      <c r="K11" s="19" t="n">
        <f aca="false">(Hypothèses!$B$16+Hypothèses!$B$18+Hypothèses!$B$19+Hypothèses!$B$20+Hypothèses!$B$21+Hypothèses!$B$22+Hypothèses!$B$23+Hypothèses!$B$24+Hypothèses!$B$25)/12</f>
        <v>216666.666666667</v>
      </c>
      <c r="L11" s="19" t="n">
        <f aca="false">(Hypothèses!$B$16+Hypothèses!$B$18+Hypothèses!$B$19+Hypothèses!$B$20+Hypothèses!$B$21+Hypothèses!$B$22+Hypothèses!$B$23+Hypothèses!$B$24+Hypothèses!$B$25)/12</f>
        <v>216666.666666667</v>
      </c>
      <c r="M11" s="19" t="n">
        <f aca="false">(Hypothèses!$B$16+Hypothèses!$B$18+Hypothèses!$B$19+Hypothèses!$B$20+Hypothèses!$B$21+Hypothèses!$B$22+Hypothèses!$B$23+Hypothèses!$B$24+Hypothèses!$B$25)/12</f>
        <v>216666.666666667</v>
      </c>
      <c r="N11" s="19" t="n">
        <f aca="false">SUM(B11:M11)</f>
        <v>2600000</v>
      </c>
    </row>
    <row r="12" customFormat="false" ht="15" hidden="false" customHeight="false" outlineLevel="0" collapsed="false">
      <c r="A12" s="2" t="s">
        <v>103</v>
      </c>
      <c r="B12" s="19" t="n">
        <f aca="false">Hypothèses!$B$17*B9</f>
        <v>0</v>
      </c>
      <c r="C12" s="19" t="n">
        <f aca="false">Hypothèses!$B$17*C9</f>
        <v>15000</v>
      </c>
      <c r="D12" s="19" t="n">
        <f aca="false">Hypothèses!$B$17*D9</f>
        <v>55000</v>
      </c>
      <c r="E12" s="19" t="n">
        <f aca="false">Hypothèses!$B$17*E9</f>
        <v>92500</v>
      </c>
      <c r="F12" s="19" t="n">
        <f aca="false">Hypothèses!$B$17*F9</f>
        <v>112500</v>
      </c>
      <c r="G12" s="19" t="n">
        <f aca="false">Hypothèses!$B$17*G9</f>
        <v>137500</v>
      </c>
      <c r="H12" s="19" t="n">
        <f aca="false">Hypothèses!$B$17*H9</f>
        <v>162500</v>
      </c>
      <c r="I12" s="19" t="n">
        <f aca="false">Hypothèses!$B$17*I9</f>
        <v>180000</v>
      </c>
      <c r="J12" s="19" t="n">
        <f aca="false">Hypothèses!$B$17*J9</f>
        <v>185000</v>
      </c>
      <c r="K12" s="19" t="n">
        <f aca="false">Hypothèses!$B$17*K9</f>
        <v>195000</v>
      </c>
      <c r="L12" s="19" t="n">
        <f aca="false">Hypothèses!$B$17*L9</f>
        <v>197500</v>
      </c>
      <c r="M12" s="19" t="n">
        <f aca="false">Hypothèses!$B$17*M9</f>
        <v>202500</v>
      </c>
      <c r="N12" s="19" t="n">
        <f aca="false">SUM(B12:M12)</f>
        <v>1535000</v>
      </c>
    </row>
    <row r="13" customFormat="false" ht="15" hidden="false" customHeight="false" outlineLevel="0" collapsed="false">
      <c r="A13" s="3" t="s">
        <v>133</v>
      </c>
      <c r="B13" s="29" t="n">
        <f aca="false">B10+B11+B12</f>
        <v>216666.666666667</v>
      </c>
      <c r="C13" s="29" t="n">
        <f aca="false">C10+C11+C12</f>
        <v>231666.666666667</v>
      </c>
      <c r="D13" s="29" t="n">
        <f aca="false">D10+D11+D12</f>
        <v>271666.666666667</v>
      </c>
      <c r="E13" s="29" t="n">
        <f aca="false">E10+E11+E12</f>
        <v>309166.666666667</v>
      </c>
      <c r="F13" s="29" t="n">
        <f aca="false">F10+F11+F12</f>
        <v>329166.666666667</v>
      </c>
      <c r="G13" s="29" t="n">
        <f aca="false">G10+G11+G12</f>
        <v>354166.666666667</v>
      </c>
      <c r="H13" s="29" t="n">
        <f aca="false">H10+H11+H12</f>
        <v>529166.666666667</v>
      </c>
      <c r="I13" s="29" t="n">
        <f aca="false">I10+I11+I12</f>
        <v>546666.666666667</v>
      </c>
      <c r="J13" s="29" t="n">
        <f aca="false">J10+J11+J12</f>
        <v>551666.666666667</v>
      </c>
      <c r="K13" s="29" t="n">
        <f aca="false">K10+K11+K12</f>
        <v>561666.666666667</v>
      </c>
      <c r="L13" s="29" t="n">
        <f aca="false">L10+L11+L12</f>
        <v>564166.666666667</v>
      </c>
      <c r="M13" s="29" t="n">
        <f aca="false">M10+M11+M12</f>
        <v>569166.666666667</v>
      </c>
      <c r="N13" s="29" t="n">
        <f aca="false">SUM(B13:M13)</f>
        <v>5035000</v>
      </c>
    </row>
    <row r="14" customFormat="false" ht="15" hidden="false" customHeight="false" outlineLevel="0" collapsed="false">
      <c r="A14" s="3" t="s">
        <v>134</v>
      </c>
      <c r="B14" s="29" t="n">
        <f aca="false">B9-B13</f>
        <v>-216666.666666667</v>
      </c>
      <c r="C14" s="29" t="n">
        <f aca="false">C9-C13</f>
        <v>-156666.666666667</v>
      </c>
      <c r="D14" s="29" t="n">
        <f aca="false">D9-D13</f>
        <v>3333.33333333337</v>
      </c>
      <c r="E14" s="29" t="n">
        <f aca="false">E9-E13</f>
        <v>153333.333333333</v>
      </c>
      <c r="F14" s="29" t="n">
        <f aca="false">F9-F13</f>
        <v>233333.333333333</v>
      </c>
      <c r="G14" s="29" t="n">
        <f aca="false">G9-G13</f>
        <v>333333.333333333</v>
      </c>
      <c r="H14" s="29" t="n">
        <f aca="false">H9-H13</f>
        <v>283333.333333333</v>
      </c>
      <c r="I14" s="29" t="n">
        <f aca="false">I9-I13</f>
        <v>353333.333333333</v>
      </c>
      <c r="J14" s="29" t="n">
        <f aca="false">J9-J13</f>
        <v>373333.333333333</v>
      </c>
      <c r="K14" s="29" t="n">
        <f aca="false">K9-K13</f>
        <v>413333.333333333</v>
      </c>
      <c r="L14" s="29" t="n">
        <f aca="false">L9-L13</f>
        <v>423333.333333333</v>
      </c>
      <c r="M14" s="29" t="n">
        <f aca="false">M9-M13</f>
        <v>443333.333333333</v>
      </c>
      <c r="N14" s="29" t="n">
        <f aca="false">SUM(B14:M14)</f>
        <v>2640000</v>
      </c>
    </row>
    <row r="15" customFormat="false" ht="15" hidden="false" customHeight="false" outlineLevel="0" collapsed="false">
      <c r="A15" s="2" t="s">
        <v>135</v>
      </c>
      <c r="B15" s="19" t="n">
        <f aca="false">B14</f>
        <v>-216666.666666667</v>
      </c>
      <c r="C15" s="19" t="n">
        <f aca="false">B15+C14</f>
        <v>-373333.333333333</v>
      </c>
      <c r="D15" s="19" t="n">
        <f aca="false">C15+D14</f>
        <v>-370000</v>
      </c>
      <c r="E15" s="19" t="n">
        <f aca="false">D15+E14</f>
        <v>-216666.666666667</v>
      </c>
      <c r="F15" s="19" t="n">
        <f aca="false">E15+F14</f>
        <v>16666.6666666668</v>
      </c>
      <c r="G15" s="19" t="n">
        <f aca="false">F15+G14</f>
        <v>350000</v>
      </c>
      <c r="H15" s="19" t="n">
        <f aca="false">G15+H14</f>
        <v>633333.333333334</v>
      </c>
      <c r="I15" s="19" t="n">
        <f aca="false">H15+I14</f>
        <v>986666.666666667</v>
      </c>
      <c r="J15" s="19" t="n">
        <f aca="false">I15+J14</f>
        <v>1360000</v>
      </c>
      <c r="K15" s="19" t="n">
        <f aca="false">J15+K14</f>
        <v>1773333.33333333</v>
      </c>
      <c r="L15" s="19" t="n">
        <f aca="false">K15+L14</f>
        <v>2196666.66666667</v>
      </c>
      <c r="M15" s="19" t="n">
        <f aca="false">L15+M14</f>
        <v>2640000</v>
      </c>
      <c r="N15" s="6"/>
    </row>
    <row r="16" customFormat="false" ht="15" hidden="false" customHeight="false" outlineLevel="0" collapsed="false">
      <c r="A16" s="3" t="s">
        <v>136</v>
      </c>
      <c r="B16" s="29" t="n">
        <f aca="false">Hypothèses!$B$30+B15</f>
        <v>783333.333333333</v>
      </c>
      <c r="C16" s="29" t="n">
        <f aca="false">Hypothèses!$B$30+C15</f>
        <v>626666.666666667</v>
      </c>
      <c r="D16" s="29" t="n">
        <f aca="false">Hypothèses!$B$30+D15</f>
        <v>630000</v>
      </c>
      <c r="E16" s="29" t="n">
        <f aca="false">Hypothèses!$B$30+E15</f>
        <v>783333.333333334</v>
      </c>
      <c r="F16" s="29" t="n">
        <f aca="false">Hypothèses!$B$30+F15</f>
        <v>1016666.66666667</v>
      </c>
      <c r="G16" s="29" t="n">
        <f aca="false">Hypothèses!$B$30+G15</f>
        <v>1350000</v>
      </c>
      <c r="H16" s="29" t="n">
        <f aca="false">Hypothèses!$B$30+H15</f>
        <v>1633333.33333333</v>
      </c>
      <c r="I16" s="29" t="n">
        <f aca="false">Hypothèses!$B$30+I15</f>
        <v>1986666.66666667</v>
      </c>
      <c r="J16" s="29" t="n">
        <f aca="false">Hypothèses!$B$30+J15</f>
        <v>2360000</v>
      </c>
      <c r="K16" s="29" t="n">
        <f aca="false">Hypothèses!$B$30+K15</f>
        <v>2773333.33333333</v>
      </c>
      <c r="L16" s="29" t="n">
        <f aca="false">Hypothèses!$B$30+L15</f>
        <v>3196666.66666667</v>
      </c>
      <c r="M16" s="29" t="n">
        <f aca="false">Hypothèses!$B$30+M15</f>
        <v>3640000</v>
      </c>
      <c r="N16" s="30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3" t="s">
        <v>137</v>
      </c>
      <c r="B18" s="28" t="n">
        <f aca="false">N5</f>
        <v>23.9166666666667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3" t="s">
        <v>138</v>
      </c>
      <c r="B19" s="27" t="n">
        <f aca="false">MAX(0,-MIN(B15:M15))</f>
        <v>373333.333333333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3" t="s">
        <v>139</v>
      </c>
      <c r="B20" s="19" t="n">
        <f aca="false">MIN(B16:M16)</f>
        <v>626666.666666667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3" t="s">
        <v>140</v>
      </c>
      <c r="B21" s="2" t="str">
        <f aca="false">IF(B20&gt;=0,"Oui","Non : augmentez le capital ou réduisez les charges")</f>
        <v>Oui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12" t="s">
        <v>141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" t="s">
        <v>142</v>
      </c>
      <c r="B1" s="6"/>
      <c r="C1" s="6"/>
      <c r="D1" s="6"/>
      <c r="E1" s="6"/>
    </row>
    <row r="2" customFormat="false" ht="15" hidden="false" customHeight="false" outlineLevel="0" collapsed="false">
      <c r="A2" s="6"/>
      <c r="B2" s="6"/>
      <c r="C2" s="6"/>
      <c r="D2" s="6"/>
      <c r="E2" s="6"/>
    </row>
    <row r="3" customFormat="false" ht="15" hidden="false" customHeight="false" outlineLevel="0" collapsed="false">
      <c r="A3" s="7"/>
      <c r="B3" s="8" t="s">
        <v>17</v>
      </c>
      <c r="C3" s="8" t="s">
        <v>18</v>
      </c>
      <c r="D3" s="8" t="s">
        <v>19</v>
      </c>
      <c r="E3" s="8" t="s">
        <v>84</v>
      </c>
    </row>
    <row r="4" customFormat="false" ht="15" hidden="false" customHeight="false" outlineLevel="0" collapsed="false">
      <c r="A4" s="2" t="s">
        <v>143</v>
      </c>
      <c r="B4" s="17" t="n">
        <f aca="false">'Projection 3 ans'!B13</f>
        <v>300000</v>
      </c>
      <c r="C4" s="17" t="n">
        <f aca="false">'Projection 3 ans'!C13</f>
        <v>320000</v>
      </c>
      <c r="D4" s="17" t="n">
        <f aca="false">'Projection 3 ans'!D13</f>
        <v>350000</v>
      </c>
      <c r="E4" s="6"/>
    </row>
    <row r="5" customFormat="false" ht="15" hidden="false" customHeight="false" outlineLevel="0" collapsed="false">
      <c r="A5" s="2" t="s">
        <v>144</v>
      </c>
      <c r="B5" s="17" t="n">
        <f aca="false">Hypothèses!$B$27</f>
        <v>40000</v>
      </c>
      <c r="C5" s="17" t="n">
        <f aca="false">Hypothèses!$B$27</f>
        <v>40000</v>
      </c>
      <c r="D5" s="17" t="n">
        <f aca="false">Hypothèses!$B$27</f>
        <v>40000</v>
      </c>
      <c r="E5" s="6"/>
    </row>
    <row r="6" customFormat="false" ht="15" hidden="false" customHeight="false" outlineLevel="0" collapsed="false">
      <c r="A6" s="2" t="s">
        <v>145</v>
      </c>
      <c r="B6" s="19" t="n">
        <f aca="false">B4-B5</f>
        <v>260000</v>
      </c>
      <c r="C6" s="19" t="n">
        <f aca="false">C4-C5</f>
        <v>280000</v>
      </c>
      <c r="D6" s="19" t="n">
        <f aca="false">D4-D5</f>
        <v>310000</v>
      </c>
      <c r="E6" s="6"/>
    </row>
    <row r="7" customFormat="false" ht="15" hidden="false" customHeight="false" outlineLevel="0" collapsed="false">
      <c r="A7" s="2" t="s">
        <v>146</v>
      </c>
      <c r="B7" s="26" t="n">
        <f aca="false">IF(B4=0,0,B6/B4)</f>
        <v>0.866666666666667</v>
      </c>
      <c r="C7" s="26" t="n">
        <f aca="false">IF(C4=0,0,C6/C4)</f>
        <v>0.875</v>
      </c>
      <c r="D7" s="26" t="n">
        <f aca="false">IF(D4=0,0,D6/D4)</f>
        <v>0.885714285714286</v>
      </c>
      <c r="E7" s="6"/>
    </row>
    <row r="8" customFormat="false" ht="15" hidden="false" customHeight="false" outlineLevel="0" collapsed="false">
      <c r="A8" s="2" t="s">
        <v>147</v>
      </c>
      <c r="B8" s="17" t="n">
        <f aca="false">Hypothèses!$B$28</f>
        <v>80000</v>
      </c>
      <c r="C8" s="17" t="n">
        <f aca="false">Hypothèses!$B$28</f>
        <v>80000</v>
      </c>
      <c r="D8" s="17" t="n">
        <f aca="false">Hypothèses!$B$28</f>
        <v>80000</v>
      </c>
      <c r="E8" s="6"/>
    </row>
    <row r="9" customFormat="false" ht="15" hidden="false" customHeight="false" outlineLevel="0" collapsed="false">
      <c r="A9" s="2" t="s">
        <v>148</v>
      </c>
      <c r="B9" s="28" t="n">
        <f aca="false">IF(B6=0,0,B8/(B6/12))</f>
        <v>3.69230769230769</v>
      </c>
      <c r="C9" s="28" t="n">
        <f aca="false">IF(C6=0,0,C8/(C6/12))</f>
        <v>3.42857142857143</v>
      </c>
      <c r="D9" s="28" t="n">
        <f aca="false">IF(D6=0,0,D8/(D6/12))</f>
        <v>3.09677419354839</v>
      </c>
      <c r="E9" s="12" t="s">
        <v>149</v>
      </c>
    </row>
    <row r="10" customFormat="false" ht="15" hidden="false" customHeight="false" outlineLevel="0" collapsed="false">
      <c r="A10" s="2" t="s">
        <v>150</v>
      </c>
      <c r="B10" s="28" t="n">
        <f aca="false">IF(Hypothèses!$B$29=0,Hypothèses!$B$31,MIN(1/Hypothèses!$B$29,Hypothèses!$B$31))</f>
        <v>5</v>
      </c>
      <c r="C10" s="28" t="n">
        <f aca="false">IF(Hypothèses!$B$29=0,Hypothèses!$B$31,MIN(1/Hypothèses!$B$29,Hypothèses!$B$31))</f>
        <v>5</v>
      </c>
      <c r="D10" s="28" t="n">
        <f aca="false">IF(Hypothèses!$B$29=0,Hypothèses!$B$31,MIN(1/Hypothèses!$B$29,Hypothèses!$B$31))</f>
        <v>5</v>
      </c>
      <c r="E10" s="12" t="s">
        <v>151</v>
      </c>
    </row>
    <row r="11" customFormat="false" ht="15" hidden="false" customHeight="false" outlineLevel="0" collapsed="false">
      <c r="A11" s="2" t="s">
        <v>152</v>
      </c>
      <c r="B11" s="21" t="n">
        <f aca="false">B6*B10</f>
        <v>1300000</v>
      </c>
      <c r="C11" s="21" t="n">
        <f aca="false">C6*C10</f>
        <v>1400000</v>
      </c>
      <c r="D11" s="21" t="n">
        <f aca="false">D6*D10</f>
        <v>1550000</v>
      </c>
      <c r="E11" s="6"/>
    </row>
    <row r="12" customFormat="false" ht="15" hidden="false" customHeight="false" outlineLevel="0" collapsed="false">
      <c r="A12" s="2" t="s">
        <v>153</v>
      </c>
      <c r="B12" s="31" t="n">
        <f aca="false">IF(B8=0,0,B11/B8)</f>
        <v>16.25</v>
      </c>
      <c r="C12" s="31" t="n">
        <f aca="false">IF(C8=0,0,C11/C8)</f>
        <v>17.5</v>
      </c>
      <c r="D12" s="31" t="n">
        <f aca="false">IF(D8=0,0,D11/D8)</f>
        <v>19.375</v>
      </c>
      <c r="E12" s="1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155</v>
      </c>
      <c r="B1" s="6"/>
      <c r="C1" s="6"/>
    </row>
    <row r="2" customFormat="false" ht="15" hidden="false" customHeight="false" outlineLevel="0" collapsed="false">
      <c r="A2" s="12" t="s">
        <v>156</v>
      </c>
      <c r="B2" s="6"/>
      <c r="C2" s="6"/>
    </row>
    <row r="3" customFormat="false" ht="15" hidden="false" customHeight="false" outlineLevel="0" collapsed="false">
      <c r="A3" s="7"/>
      <c r="B3" s="8" t="s">
        <v>157</v>
      </c>
      <c r="C3" s="8" t="s">
        <v>84</v>
      </c>
    </row>
    <row r="4" customFormat="false" ht="15" hidden="false" customHeight="false" outlineLevel="0" collapsed="false">
      <c r="A4" s="2" t="s">
        <v>158</v>
      </c>
      <c r="B4" s="15" t="n">
        <v>400</v>
      </c>
      <c r="C4" s="12" t="s">
        <v>159</v>
      </c>
    </row>
    <row r="5" customFormat="false" ht="15" hidden="false" customHeight="false" outlineLevel="0" collapsed="false">
      <c r="A5" s="2" t="s">
        <v>160</v>
      </c>
      <c r="B5" s="15" t="n">
        <v>150000</v>
      </c>
      <c r="C5" s="12" t="s">
        <v>161</v>
      </c>
    </row>
    <row r="6" customFormat="false" ht="15" hidden="false" customHeight="false" outlineLevel="0" collapsed="false">
      <c r="A6" s="2" t="s">
        <v>162</v>
      </c>
      <c r="B6" s="16" t="n">
        <v>0.05</v>
      </c>
      <c r="C6" s="12" t="s">
        <v>163</v>
      </c>
    </row>
    <row r="7" customFormat="false" ht="15" hidden="false" customHeight="false" outlineLevel="0" collapsed="false">
      <c r="A7" s="2" t="s">
        <v>164</v>
      </c>
      <c r="B7" s="15" t="n">
        <v>1000</v>
      </c>
      <c r="C7" s="12" t="s">
        <v>165</v>
      </c>
    </row>
    <row r="8" customFormat="false" ht="15" hidden="false" customHeight="false" outlineLevel="0" collapsed="false">
      <c r="A8" s="6"/>
      <c r="B8" s="6"/>
      <c r="C8" s="6"/>
    </row>
    <row r="9" customFormat="false" ht="15" hidden="false" customHeight="false" outlineLevel="0" collapsed="false">
      <c r="A9" s="2" t="s">
        <v>166</v>
      </c>
      <c r="B9" s="19" t="n">
        <f aca="false">B4*B5</f>
        <v>60000000</v>
      </c>
      <c r="C9" s="6"/>
    </row>
    <row r="10" customFormat="false" ht="15" hidden="false" customHeight="false" outlineLevel="0" collapsed="false">
      <c r="A10" s="2" t="s">
        <v>167</v>
      </c>
      <c r="B10" s="19" t="n">
        <f aca="false">B9*B6</f>
        <v>3000000</v>
      </c>
      <c r="C10" s="6"/>
    </row>
    <row r="11" customFormat="false" ht="15" hidden="false" customHeight="false" outlineLevel="0" collapsed="false">
      <c r="A11" s="2" t="s">
        <v>168</v>
      </c>
      <c r="B11" s="19" t="n">
        <f aca="false">B4*B7</f>
        <v>400000</v>
      </c>
      <c r="C11" s="6"/>
    </row>
    <row r="12" customFormat="false" ht="15" hidden="false" customHeight="false" outlineLevel="0" collapsed="false">
      <c r="A12" s="20" t="s">
        <v>169</v>
      </c>
      <c r="B12" s="27" t="n">
        <f aca="false">B10-B11</f>
        <v>2600000</v>
      </c>
      <c r="C12" s="6"/>
    </row>
    <row r="13" customFormat="false" ht="15" hidden="false" customHeight="false" outlineLevel="0" collapsed="false">
      <c r="A13" s="20" t="s">
        <v>170</v>
      </c>
      <c r="B13" s="31" t="n">
        <f aca="false">IF(B11=0,0,B10/B11)</f>
        <v>7.5</v>
      </c>
      <c r="C13" s="12" t="s">
        <v>171</v>
      </c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12" t="s">
        <v>172</v>
      </c>
      <c r="B15" s="6"/>
      <c r="C1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2026-10-02T01:03:58Z</dcterms:created>
  <dc:creator>openpyxl</dc:creator>
  <dc:description/>
  <dc:language>en-US</dc:language>
  <cp:lastModifiedBy/>
  <dcterms:modified xsi:type="dcterms:W3CDTF">2026-10-02T01:03:58Z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